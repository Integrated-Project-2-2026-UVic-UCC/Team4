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1f346a5d03b2093/Desktop/2n q/Integrated Project II/Documentation/"/>
    </mc:Choice>
  </mc:AlternateContent>
  <xr:revisionPtr revIDLastSave="249" documentId="8_{D10D4949-50ED-4855-8603-84DE0F12D1F7}" xr6:coauthVersionLast="47" xr6:coauthVersionMax="47" xr10:uidLastSave="{25A5E1F8-FF95-4442-A63D-320621CFB0A3}"/>
  <bookViews>
    <workbookView xWindow="-108" yWindow="-108" windowWidth="23256" windowHeight="12456" firstSheet="1" activeTab="1" xr2:uid="{00000000-000D-0000-FFFF-FFFF00000000}"/>
  </bookViews>
  <sheets>
    <sheet name="Full1" sheetId="2" state="hidden" r:id="rId1"/>
    <sheet name="T4-FootballGoal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17" i="1"/>
  <c r="K16" i="1"/>
  <c r="K14" i="1"/>
  <c r="K6" i="1"/>
  <c r="K7" i="1"/>
  <c r="K8" i="1"/>
  <c r="K9" i="1"/>
  <c r="K10" i="1"/>
  <c r="K11" i="1"/>
  <c r="K12" i="1"/>
  <c r="K13" i="1"/>
  <c r="K18" i="1"/>
  <c r="K5" i="1"/>
  <c r="K4" i="1"/>
  <c r="K2" i="1"/>
  <c r="K3" i="1"/>
  <c r="K20" i="1" l="1"/>
</calcChain>
</file>

<file path=xl/sharedStrings.xml><?xml version="1.0" encoding="utf-8"?>
<sst xmlns="http://schemas.openxmlformats.org/spreadsheetml/2006/main" count="58" uniqueCount="40">
  <si>
    <t>Link</t>
  </si>
  <si>
    <t>goalpost tubes</t>
  </si>
  <si>
    <t>https://www.amazon.es/Jevina-VL53L1X-m%C3%B3dulo-distancia-medici%C3%B3n/dp/B0CPHYV11D</t>
  </si>
  <si>
    <t>m</t>
  </si>
  <si>
    <t>unitats</t>
  </si>
  <si>
    <t>https://www.alacermas.com/es/producto/tubos-cuadrados-extruidos-de-aluminio</t>
  </si>
  <si>
    <t>Reviwed</t>
  </si>
  <si>
    <t>Asked</t>
  </si>
  <si>
    <t>Delivered</t>
  </si>
  <si>
    <t>Comments</t>
  </si>
  <si>
    <t>Individual price</t>
  </si>
  <si>
    <t>Price</t>
  </si>
  <si>
    <t>TOTAL</t>
  </si>
  <si>
    <t>Quantity</t>
  </si>
  <si>
    <t>Concept</t>
  </si>
  <si>
    <t>distance sensor</t>
  </si>
  <si>
    <t>https://www.amazon.es/desarrollo-AYWHP-ESP-WROOM-32-Bluetooth-Compatible/dp/B0DG8JFY3C</t>
  </si>
  <si>
    <t>unitat</t>
  </si>
  <si>
    <t>ESP 32</t>
  </si>
  <si>
    <t>Goal net</t>
  </si>
  <si>
    <t>https://www.amazon.es/dp/B0CJJCG4B2/ref=sspa_dk_detail_3?psc=1&amp;pd_rd_i=B0CJJCG4B2&amp;pd_rd_w=B46YE&amp;content-id=amzn1.sym.0c640cbd-b6e0-461d-8cfc-a8934b5122df&amp;pf_rd_p=0c640cbd-b6e0-461d-8cfc-a8934b5122df&amp;pf_rd_r=M1F5KSCC69AW78BZWX7E&amp;pd_rd_wg=Gb1er&amp;pd_rd_r=de0751c4-9497-4b47-bd2f-adb5a478cd4e&amp;aref=WCCGjsiMEK&amp;sp_csd=d2lkZ2V0TmFtZT1zcF9kZXRhaWw</t>
  </si>
  <si>
    <t>cable green</t>
  </si>
  <si>
    <t>cable black</t>
  </si>
  <si>
    <t>cable blue</t>
  </si>
  <si>
    <t>cable yellow</t>
  </si>
  <si>
    <t>3d printer material</t>
  </si>
  <si>
    <t>son el 50x50 mm amb el gruix de 2mm</t>
  </si>
  <si>
    <t>the material available at the university will be sufficient</t>
  </si>
  <si>
    <t>cablejat arduino</t>
  </si>
  <si>
    <t xml:space="preserve">cable red </t>
  </si>
  <si>
    <t>femella M8 85mm</t>
  </si>
  <si>
    <t>Cargols M8 85mm</t>
  </si>
  <si>
    <t>https://www.tornillos-express.es/tuerca-hexagonal-clase-clase-88-iso-4032-nfe-24032-iso-4032vs-iso4032vs4325/36292-617962-tuerca-hexagonal-m8-clase-8-acero-cincado-blanco-3663072087903.html?utm_campaign=googleads&amp;utm_source=shopping&amp;utm_medium=espagne&amp;gad_source=1&amp;gad_campaignid=19022351003&amp;gbraid=0AAAAApCivz6dHd2o9ejHbDoXMnosNoKJ6&amp;gclid=CjwKCAiA-__MBhAKEiwASBmsBNoD5PrjyQ96KwgL7XtxX3oPs07ehlaPK3VmQxj1SBDd34yOyenwOBoCR0AQAvD_BwE</t>
  </si>
  <si>
    <t>https://www.tornillos-express.es/tornillo-metales-cabeza-hexagonal-th-109-iso-4017/43047-632626-tornillo-metales-cabeza-hexagonal-m8x80-clase-109-acero-cincado-blanco-3663072192089.html?utm_campaign=googleads&amp;utm_source=shopping&amp;utm_medium=espagne&amp;gad_source=1&amp;gad_campaignid=19022351003&amp;gbraid=0AAAAApCivz6dHd2o9ejHbDoXMnosNoKJ6&amp;gclid=CjwKCAiA-__MBhAKEiwASBmsBErxRNCimA-naKwgQeOiBRyDUxktBG1afckTqvigwF5F7Ry69lXykxoCKEgQAvD_BwE</t>
  </si>
  <si>
    <t>https://es.rs-online.com/web/p/fuentes-de-alimentacion-conmutadas/1358955</t>
  </si>
  <si>
    <t>convertor (230 a 5v)</t>
  </si>
  <si>
    <t>convertor (5 a 3,3v)</t>
  </si>
  <si>
    <t>https://www.electromaker.io/shop/product/dc-dc-multi-output-buck-converter-33v5v9v12v</t>
  </si>
  <si>
    <t>en el paquet van 100, necessitem 20, o els que tingueu a la universitat que facin 85mm o més</t>
  </si>
  <si>
    <t xml:space="preserve">en el paquet van 100, necessitem 20, o els que tingueu a la universitat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</si>
</sst>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b/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0" borderId="0" xfId="1" applyFill="1" applyBorder="1" applyAlignment="1">
      <alignment wrapText="1"/>
    </xf>
    <xf numFmtId="0" fontId="4" fillId="0" borderId="0" xfId="0" applyFont="1" applyAlignment="1">
      <alignment horizontal="center"/>
    </xf>
    <xf numFmtId="0" fontId="3" fillId="0" borderId="0" xfId="1" applyAlignment="1">
      <alignment wrapText="1"/>
    </xf>
    <xf numFmtId="0" fontId="4" fillId="2" borderId="0" xfId="0" applyFont="1" applyFill="1" applyAlignment="1">
      <alignment horizontal="center"/>
    </xf>
    <xf numFmtId="0" fontId="3" fillId="2" borderId="0" xfId="1" applyFill="1" applyBorder="1" applyAlignment="1">
      <alignment wrapText="1"/>
    </xf>
    <xf numFmtId="0" fontId="4" fillId="0" borderId="0" xfId="0" applyFont="1" applyAlignment="1">
      <alignment indent="1"/>
    </xf>
    <xf numFmtId="0" fontId="4" fillId="0" borderId="0" xfId="0" applyFont="1" applyAlignment="1">
      <alignment wrapText="1" indent="1"/>
    </xf>
    <xf numFmtId="0" fontId="4" fillId="2" borderId="0" xfId="0" applyFont="1" applyFill="1" applyAlignment="1">
      <alignment inden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0" fillId="0" borderId="0" xfId="0" applyNumberFormat="1"/>
    <xf numFmtId="0" fontId="4" fillId="0" borderId="0" xfId="0" applyFont="1" applyAlignment="1">
      <alignment vertical="top"/>
    </xf>
    <xf numFmtId="0" fontId="7" fillId="0" borderId="0" xfId="0" applyFont="1"/>
    <xf numFmtId="0" fontId="4" fillId="0" borderId="0" xfId="0" applyFont="1" applyFill="1" applyAlignment="1">
      <alignment vertical="top"/>
    </xf>
    <xf numFmtId="0" fontId="3" fillId="0" borderId="0" xfId="1" applyFont="1" applyAlignment="1">
      <alignment wrapText="1"/>
    </xf>
    <xf numFmtId="2" fontId="0" fillId="0" borderId="0" xfId="0" applyNumberFormat="1" applyAlignment="1">
      <alignment horizontal="right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lacermas.com/es/producto/tubos-cuadrados-extruidos-de-aluminio" TargetMode="External"/><Relationship Id="rId1" Type="http://schemas.openxmlformats.org/officeDocument/2006/relationships/hyperlink" Target="https://www.amazon.es/dp/B0CJJCG4B2/ref=sspa_dk_detail_3?psc=1&amp;pd_rd_i=B0CJJCG4B2&amp;pd_rd_w=B46YE&amp;content-id=amzn1.sym.0c640cbd-b6e0-461d-8cfc-a8934b5122df&amp;pf_rd_p=0c640cbd-b6e0-461d-8cfc-a8934b5122df&amp;pf_rd_r=M1F5KSCC69AW78BZWX7E&amp;pd_rd_wg=Gb1er&amp;pd_rd_r=de0751c4-9497-4b47-bd2f-adb5a478cd4e&amp;aref=WCCGjsiMEK&amp;sp_csd=d2lkZ2V0TmFtZT1zcF9kZXRha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A1AC-6E55-4F4F-9404-CDD0ECE9308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0"/>
  <sheetViews>
    <sheetView tabSelected="1" workbookViewId="0">
      <pane ySplit="1" topLeftCell="A2" activePane="bottomLeft" state="frozen"/>
      <selection pane="bottomLeft" activeCell="I28" sqref="I28"/>
    </sheetView>
  </sheetViews>
  <sheetFormatPr defaultRowHeight="14.4" x14ac:dyDescent="0.3"/>
  <cols>
    <col min="2" max="2" width="28.5546875" customWidth="1"/>
    <col min="3" max="3" width="9.33203125" style="7" bestFit="1" customWidth="1"/>
    <col min="4" max="4" width="9.33203125" style="7" customWidth="1"/>
    <col min="5" max="5" width="26" customWidth="1"/>
    <col min="6" max="8" width="11.88671875" bestFit="1" customWidth="1"/>
    <col min="9" max="9" width="75.5546875" bestFit="1" customWidth="1"/>
    <col min="10" max="10" width="14.109375" bestFit="1" customWidth="1"/>
  </cols>
  <sheetData>
    <row r="1" spans="2:11" s="4" customFormat="1" x14ac:dyDescent="0.3">
      <c r="B1" s="2" t="s">
        <v>14</v>
      </c>
      <c r="C1" s="3" t="s">
        <v>13</v>
      </c>
      <c r="D1" s="3"/>
      <c r="E1" s="3" t="s">
        <v>0</v>
      </c>
      <c r="F1" s="3" t="s">
        <v>6</v>
      </c>
      <c r="G1" s="3" t="s">
        <v>7</v>
      </c>
      <c r="H1" s="3" t="s">
        <v>8</v>
      </c>
      <c r="I1" s="3" t="s">
        <v>9</v>
      </c>
      <c r="J1" s="17" t="s">
        <v>10</v>
      </c>
      <c r="K1" s="16" t="s">
        <v>11</v>
      </c>
    </row>
    <row r="2" spans="2:11" x14ac:dyDescent="0.3">
      <c r="B2" s="6" t="s">
        <v>1</v>
      </c>
      <c r="C2" s="7">
        <v>6</v>
      </c>
      <c r="D2" s="7" t="s">
        <v>3</v>
      </c>
      <c r="E2" s="5" t="s">
        <v>5</v>
      </c>
      <c r="F2" s="1" t="b">
        <v>1</v>
      </c>
      <c r="G2" s="1" t="b">
        <v>0</v>
      </c>
      <c r="H2" s="1" t="b">
        <v>0</v>
      </c>
      <c r="I2" t="s">
        <v>26</v>
      </c>
      <c r="J2">
        <v>6.56</v>
      </c>
      <c r="K2">
        <f>J2*C2</f>
        <v>39.36</v>
      </c>
    </row>
    <row r="3" spans="2:11" x14ac:dyDescent="0.3">
      <c r="B3" t="s">
        <v>15</v>
      </c>
      <c r="C3" s="7">
        <v>5</v>
      </c>
      <c r="D3" s="7" t="s">
        <v>4</v>
      </c>
      <c r="E3" s="5" t="s">
        <v>2</v>
      </c>
      <c r="F3" s="1" t="b">
        <v>1</v>
      </c>
      <c r="G3" s="1" t="b">
        <v>0</v>
      </c>
      <c r="H3" s="1" t="b">
        <v>0</v>
      </c>
      <c r="J3">
        <v>8.81</v>
      </c>
      <c r="K3">
        <f>J3*C3</f>
        <v>44.050000000000004</v>
      </c>
    </row>
    <row r="4" spans="2:11" x14ac:dyDescent="0.3">
      <c r="B4" t="s">
        <v>18</v>
      </c>
      <c r="C4" s="7">
        <v>1</v>
      </c>
      <c r="D4" s="7" t="s">
        <v>17</v>
      </c>
      <c r="E4" s="5" t="s">
        <v>16</v>
      </c>
      <c r="F4" s="1" t="b">
        <v>1</v>
      </c>
      <c r="G4" s="1" t="b">
        <v>0</v>
      </c>
      <c r="H4" s="1" t="b">
        <v>0</v>
      </c>
      <c r="J4" s="18">
        <v>8.9</v>
      </c>
      <c r="K4" s="18">
        <f>J4*C4</f>
        <v>8.9</v>
      </c>
    </row>
    <row r="5" spans="2:11" x14ac:dyDescent="0.3">
      <c r="B5" t="s">
        <v>19</v>
      </c>
      <c r="C5" s="7">
        <v>1</v>
      </c>
      <c r="D5" s="7" t="s">
        <v>17</v>
      </c>
      <c r="E5" s="5" t="s">
        <v>20</v>
      </c>
      <c r="F5" s="1" t="b">
        <v>1</v>
      </c>
      <c r="G5" s="1" t="b">
        <v>0</v>
      </c>
      <c r="H5" s="1" t="b">
        <v>0</v>
      </c>
      <c r="J5">
        <v>25.66</v>
      </c>
      <c r="K5" s="18">
        <f t="shared" ref="K5:K18" si="0">J5*C5</f>
        <v>25.66</v>
      </c>
    </row>
    <row r="6" spans="2:11" x14ac:dyDescent="0.3">
      <c r="B6" s="6" t="s">
        <v>22</v>
      </c>
      <c r="C6" s="7">
        <v>2</v>
      </c>
      <c r="D6" s="7" t="s">
        <v>3</v>
      </c>
      <c r="F6" s="1" t="b">
        <v>1</v>
      </c>
      <c r="G6" s="1" t="b">
        <v>0</v>
      </c>
      <c r="H6" s="1" t="b">
        <v>0</v>
      </c>
      <c r="I6" t="s">
        <v>28</v>
      </c>
      <c r="K6" s="18">
        <f t="shared" si="0"/>
        <v>0</v>
      </c>
    </row>
    <row r="7" spans="2:11" x14ac:dyDescent="0.3">
      <c r="B7" s="6" t="s">
        <v>29</v>
      </c>
      <c r="C7" s="7">
        <v>2</v>
      </c>
      <c r="D7" s="7" t="s">
        <v>3</v>
      </c>
      <c r="F7" s="1" t="b">
        <v>1</v>
      </c>
      <c r="G7" s="1" t="b">
        <v>0</v>
      </c>
      <c r="H7" s="1" t="b">
        <v>0</v>
      </c>
      <c r="I7" t="s">
        <v>28</v>
      </c>
      <c r="K7" s="18">
        <f t="shared" si="0"/>
        <v>0</v>
      </c>
    </row>
    <row r="8" spans="2:11" x14ac:dyDescent="0.3">
      <c r="B8" s="19" t="s">
        <v>21</v>
      </c>
      <c r="C8" s="9">
        <v>1</v>
      </c>
      <c r="D8" s="9" t="s">
        <v>3</v>
      </c>
      <c r="E8" s="10"/>
      <c r="F8" s="1" t="b">
        <v>1</v>
      </c>
      <c r="G8" s="1" t="b">
        <v>0</v>
      </c>
      <c r="H8" s="1" t="b">
        <v>0</v>
      </c>
      <c r="I8" t="s">
        <v>28</v>
      </c>
      <c r="K8" s="18">
        <f t="shared" si="0"/>
        <v>0</v>
      </c>
    </row>
    <row r="9" spans="2:11" hidden="1" x14ac:dyDescent="0.3">
      <c r="B9" s="14"/>
      <c r="C9" s="9">
        <v>1</v>
      </c>
      <c r="D9" s="9"/>
      <c r="E9" s="8"/>
      <c r="F9" s="1" t="b">
        <v>0</v>
      </c>
      <c r="G9" s="1" t="b">
        <v>0</v>
      </c>
      <c r="H9" s="1" t="b">
        <v>0</v>
      </c>
      <c r="I9" t="s">
        <v>28</v>
      </c>
      <c r="K9" s="18">
        <f t="shared" si="0"/>
        <v>0</v>
      </c>
    </row>
    <row r="10" spans="2:11" hidden="1" x14ac:dyDescent="0.3">
      <c r="B10" s="13"/>
      <c r="C10" s="9">
        <v>1</v>
      </c>
      <c r="D10" s="9"/>
      <c r="E10" s="8"/>
      <c r="F10" s="1" t="b">
        <v>0</v>
      </c>
      <c r="G10" s="1" t="b">
        <v>0</v>
      </c>
      <c r="H10" s="1" t="b">
        <v>0</v>
      </c>
      <c r="I10" t="s">
        <v>28</v>
      </c>
      <c r="K10" s="18">
        <f t="shared" si="0"/>
        <v>0</v>
      </c>
    </row>
    <row r="11" spans="2:11" hidden="1" x14ac:dyDescent="0.3">
      <c r="B11" s="15"/>
      <c r="C11" s="11">
        <v>1</v>
      </c>
      <c r="D11" s="11"/>
      <c r="E11" s="12"/>
      <c r="F11" s="1" t="b">
        <v>0</v>
      </c>
      <c r="G11" s="1" t="b">
        <v>0</v>
      </c>
      <c r="H11" s="1" t="b">
        <v>0</v>
      </c>
      <c r="I11" t="s">
        <v>28</v>
      </c>
      <c r="K11" s="18">
        <f t="shared" si="0"/>
        <v>0</v>
      </c>
    </row>
    <row r="12" spans="2:11" x14ac:dyDescent="0.3">
      <c r="B12" s="19" t="s">
        <v>23</v>
      </c>
      <c r="C12" s="9">
        <v>1</v>
      </c>
      <c r="D12" s="9" t="s">
        <v>3</v>
      </c>
      <c r="E12" s="8"/>
      <c r="F12" s="1" t="b">
        <v>1</v>
      </c>
      <c r="G12" s="1" t="b">
        <v>0</v>
      </c>
      <c r="H12" s="1" t="b">
        <v>0</v>
      </c>
      <c r="I12" t="s">
        <v>28</v>
      </c>
      <c r="K12" s="18">
        <f t="shared" si="0"/>
        <v>0</v>
      </c>
    </row>
    <row r="13" spans="2:11" x14ac:dyDescent="0.3">
      <c r="B13" s="19" t="s">
        <v>24</v>
      </c>
      <c r="C13" s="9">
        <v>1</v>
      </c>
      <c r="D13" s="9" t="s">
        <v>3</v>
      </c>
      <c r="E13" s="10"/>
      <c r="F13" s="1" t="b">
        <v>1</v>
      </c>
      <c r="G13" s="1" t="b">
        <v>0</v>
      </c>
      <c r="H13" s="1" t="b">
        <v>0</v>
      </c>
      <c r="I13" t="s">
        <v>28</v>
      </c>
      <c r="K13" s="18">
        <f t="shared" si="0"/>
        <v>0</v>
      </c>
    </row>
    <row r="14" spans="2:11" ht="14.4" customHeight="1" x14ac:dyDescent="0.3">
      <c r="B14" s="21" t="s">
        <v>35</v>
      </c>
      <c r="C14" s="9">
        <v>1</v>
      </c>
      <c r="D14" s="9" t="s">
        <v>17</v>
      </c>
      <c r="E14" s="22" t="s">
        <v>34</v>
      </c>
      <c r="F14" s="1" t="b">
        <v>0</v>
      </c>
      <c r="G14" s="1" t="b">
        <v>0</v>
      </c>
      <c r="H14" s="1" t="b">
        <v>0</v>
      </c>
      <c r="J14" s="23">
        <v>19</v>
      </c>
      <c r="K14" s="18">
        <f t="shared" si="0"/>
        <v>19</v>
      </c>
    </row>
    <row r="15" spans="2:11" ht="14.4" customHeight="1" x14ac:dyDescent="0.3">
      <c r="B15" s="21" t="s">
        <v>36</v>
      </c>
      <c r="C15" s="9">
        <v>1</v>
      </c>
      <c r="D15" s="9" t="s">
        <v>17</v>
      </c>
      <c r="E15" s="22" t="s">
        <v>37</v>
      </c>
      <c r="F15" s="1" t="b">
        <v>0</v>
      </c>
      <c r="G15" s="1" t="b">
        <v>0</v>
      </c>
      <c r="H15" s="1" t="b">
        <v>0</v>
      </c>
      <c r="J15" s="18">
        <v>5.3</v>
      </c>
      <c r="K15" s="18">
        <f t="shared" si="0"/>
        <v>5.3</v>
      </c>
    </row>
    <row r="16" spans="2:11" x14ac:dyDescent="0.3">
      <c r="B16" s="19" t="s">
        <v>31</v>
      </c>
      <c r="C16" s="9">
        <v>20</v>
      </c>
      <c r="D16" s="9" t="s">
        <v>4</v>
      </c>
      <c r="E16" s="10" t="s">
        <v>33</v>
      </c>
      <c r="F16" s="1" t="b">
        <v>0</v>
      </c>
      <c r="G16" s="1" t="b">
        <v>0</v>
      </c>
      <c r="H16" s="1" t="b">
        <v>0</v>
      </c>
      <c r="I16" t="s">
        <v>38</v>
      </c>
      <c r="J16">
        <v>18.329999999999998</v>
      </c>
      <c r="K16" s="18">
        <f>J16</f>
        <v>18.329999999999998</v>
      </c>
    </row>
    <row r="17" spans="2:11" x14ac:dyDescent="0.3">
      <c r="B17" s="19" t="s">
        <v>30</v>
      </c>
      <c r="C17" s="9">
        <v>20</v>
      </c>
      <c r="D17" s="9" t="s">
        <v>4</v>
      </c>
      <c r="E17" s="10" t="s">
        <v>32</v>
      </c>
      <c r="F17" s="1" t="b">
        <v>0</v>
      </c>
      <c r="G17" s="1" t="b">
        <v>0</v>
      </c>
      <c r="H17" s="1" t="b">
        <v>0</v>
      </c>
      <c r="I17" t="s">
        <v>39</v>
      </c>
      <c r="J17">
        <v>1.33</v>
      </c>
      <c r="K17" s="18">
        <f>J17</f>
        <v>1.33</v>
      </c>
    </row>
    <row r="18" spans="2:11" x14ac:dyDescent="0.3">
      <c r="B18" s="20" t="s">
        <v>25</v>
      </c>
      <c r="C18" s="7">
        <v>1</v>
      </c>
      <c r="D18" s="7" t="s">
        <v>17</v>
      </c>
      <c r="E18" s="5"/>
      <c r="F18" s="1" t="b">
        <v>0</v>
      </c>
      <c r="G18" s="1" t="b">
        <v>0</v>
      </c>
      <c r="H18" s="1" t="b">
        <v>0</v>
      </c>
      <c r="I18" t="s">
        <v>27</v>
      </c>
      <c r="K18" s="18">
        <f t="shared" si="0"/>
        <v>0</v>
      </c>
    </row>
    <row r="20" spans="2:11" x14ac:dyDescent="0.3">
      <c r="J20" t="s">
        <v>12</v>
      </c>
      <c r="K20">
        <f>SUM(K2:K18)</f>
        <v>161.93000000000004</v>
      </c>
    </row>
  </sheetData>
  <phoneticPr fontId="8" type="noConversion"/>
  <hyperlinks>
    <hyperlink ref="E5" r:id="rId1" display="https://www.amazon.es/dp/B0CJJCG4B2/ref=sspa_dk_detail_3?psc=1&amp;pd_rd_i=B0CJJCG4B2&amp;pd_rd_w=B46YE&amp;content-id=amzn1.sym.0c640cbd-b6e0-461d-8cfc-a8934b5122df&amp;pf_rd_p=0c640cbd-b6e0-461d-8cfc-a8934b5122df&amp;pf_rd_r=M1F5KSCC69AW78BZWX7E&amp;pd_rd_wg=Gb1er&amp;pd_rd_r=de0751c4-9497-4b47-bd2f-adb5a478cd4e&amp;aref=WCCGjsiMEK&amp;sp_csd=d2lkZ2V0TmFtZT1zcF9kZXRhaWw" xr:uid="{177371BD-60DB-483F-9CD3-17AF328B2782}"/>
    <hyperlink ref="E2" r:id="rId2" xr:uid="{13B205C7-147D-4CAC-B774-941552993FAE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18F727D487E3458BEB83107A885507" ma:contentTypeVersion="14" ma:contentTypeDescription="Crear nuevo documento." ma:contentTypeScope="" ma:versionID="4c51b25c804de421720b8556b8e14123">
  <xsd:schema xmlns:xsd="http://www.w3.org/2001/XMLSchema" xmlns:xs="http://www.w3.org/2001/XMLSchema" xmlns:p="http://schemas.microsoft.com/office/2006/metadata/properties" xmlns:ns2="bd51b8d8-854a-43d6-880d-b6b77f32b788" xmlns:ns3="7c10677f-6caa-42d0-ab88-ccd0fc439109" targetNamespace="http://schemas.microsoft.com/office/2006/metadata/properties" ma:root="true" ma:fieldsID="3827fe04451c7e57ff13fe98dce623bc" ns2:_="" ns3:_="">
    <xsd:import namespace="bd51b8d8-854a-43d6-880d-b6b77f32b788"/>
    <xsd:import namespace="7c10677f-6caa-42d0-ab88-ccd0fc4391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1b8d8-854a-43d6-880d-b6b77f32b7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51c17c9-22bf-4739-a0bf-79b4a009df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0677f-6caa-42d0-ab88-ccd0fc4391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f10ceda-5319-426a-97cd-ad3756362375}" ma:internalName="TaxCatchAll" ma:showField="CatchAllData" ma:web="7c10677f-6caa-42d0-ab88-ccd0fc4391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51b8d8-854a-43d6-880d-b6b77f32b788">
      <Terms xmlns="http://schemas.microsoft.com/office/infopath/2007/PartnerControls"/>
    </lcf76f155ced4ddcb4097134ff3c332f>
    <TaxCatchAll xmlns="7c10677f-6caa-42d0-ab88-ccd0fc439109" xsi:nil="true"/>
  </documentManagement>
</p:properties>
</file>

<file path=customXml/itemProps1.xml><?xml version="1.0" encoding="utf-8"?>
<ds:datastoreItem xmlns:ds="http://schemas.openxmlformats.org/officeDocument/2006/customXml" ds:itemID="{1F480205-980C-4BCC-9F2D-B8853D45A7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51b8d8-854a-43d6-880d-b6b77f32b788"/>
    <ds:schemaRef ds:uri="7c10677f-6caa-42d0-ab88-ccd0fc4391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C11E23-063D-4A0F-89B0-37CAE12071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796091-A6EF-48AE-B341-7B4327547113}">
  <ds:schemaRefs>
    <ds:schemaRef ds:uri="http://schemas.microsoft.com/office/2006/metadata/properties"/>
    <ds:schemaRef ds:uri="http://schemas.microsoft.com/office/infopath/2007/PartnerControls"/>
    <ds:schemaRef ds:uri="bd51b8d8-854a-43d6-880d-b6b77f32b788"/>
    <ds:schemaRef ds:uri="7c10677f-6caa-42d0-ab88-ccd0fc4391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Full1</vt:lpstr>
      <vt:lpstr>T4-FootballGoal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Mireia Sabate</cp:lastModifiedBy>
  <cp:revision/>
  <dcterms:created xsi:type="dcterms:W3CDTF">2025-02-17T15:41:24Z</dcterms:created>
  <dcterms:modified xsi:type="dcterms:W3CDTF">2026-02-26T16:05:43Z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0x0101006A18F727D487E3458BEB83107A885507</vt:lpwstr>
  </property>
</Properties>
</file>